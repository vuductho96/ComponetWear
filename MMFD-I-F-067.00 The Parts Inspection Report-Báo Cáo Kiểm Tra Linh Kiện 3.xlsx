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415\Desktop\File đo linh kiện\"/>
    </mc:Choice>
  </mc:AlternateContent>
  <xr:revisionPtr revIDLastSave="0" documentId="13_ncr:1_{458BECC7-BDEB-489D-97BC-E03F3E53939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spection 1-40 (2)" sheetId="328" r:id="rId1"/>
  </sheets>
  <definedNames>
    <definedName name="_xlnm.Print_Area" localSheetId="0">'Inspection 1-40 (2)'!$A$1:$P$64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0" i="328" l="1"/>
  <c r="P21" i="328"/>
  <c r="P22" i="328"/>
  <c r="P23" i="328"/>
  <c r="P24" i="328"/>
  <c r="P25" i="328"/>
  <c r="P26" i="328"/>
  <c r="P27" i="328"/>
  <c r="P28" i="328"/>
  <c r="P29" i="328"/>
  <c r="P30" i="328"/>
  <c r="P31" i="328"/>
  <c r="P32" i="328"/>
  <c r="P33" i="328"/>
  <c r="P34" i="328"/>
  <c r="P35" i="328"/>
  <c r="P36" i="328"/>
  <c r="P37" i="328"/>
  <c r="P38" i="328"/>
  <c r="P39" i="328"/>
  <c r="P40" i="328"/>
  <c r="P41" i="328"/>
  <c r="P42" i="328"/>
  <c r="P43" i="328"/>
  <c r="P44" i="328"/>
  <c r="P45" i="328"/>
  <c r="P46" i="328"/>
  <c r="P47" i="328"/>
  <c r="P48" i="328"/>
  <c r="P49" i="328"/>
  <c r="P50" i="328"/>
  <c r="P51" i="328"/>
  <c r="P52" i="328"/>
  <c r="P53" i="328"/>
  <c r="P54" i="328"/>
  <c r="P55" i="328"/>
  <c r="P56" i="328"/>
  <c r="P57" i="328"/>
  <c r="P58" i="328"/>
  <c r="P14" i="328" l="1"/>
</calcChain>
</file>

<file path=xl/sharedStrings.xml><?xml version="1.0" encoding="utf-8"?>
<sst xmlns="http://schemas.openxmlformats.org/spreadsheetml/2006/main" count="46" uniqueCount="41">
  <si>
    <r>
      <t xml:space="preserve">BÁO CÁO KIỂM TRA LINH KIỆN
THE PARTS INSPECTION REPORT
</t>
    </r>
    <r>
      <rPr>
        <b/>
        <sz val="12"/>
        <rFont val="Arial"/>
        <family val="2"/>
      </rPr>
      <t>MMFD-I-F067.00</t>
    </r>
  </si>
  <si>
    <t>REV No.
Lần Sửa Đổi</t>
  </si>
  <si>
    <t>REV DATE
Ngày Sửa Đổi</t>
  </si>
  <si>
    <t>REVISION DETAILS 
 Chi Tiết Sửa Đổi</t>
  </si>
  <si>
    <t>PREPARE BY
Lập</t>
  </si>
  <si>
    <t>CHECKED BY
Kiểm Tra</t>
  </si>
  <si>
    <t>APPROVED BY
Phê Duyệt</t>
  </si>
  <si>
    <t>Initial release</t>
  </si>
  <si>
    <t>Add Judgement and Revision details</t>
  </si>
  <si>
    <t>Ms.Trang</t>
  </si>
  <si>
    <t>Mr.Quy</t>
  </si>
  <si>
    <t>Ms.Van</t>
  </si>
  <si>
    <t>Date/Ngày kiểm tra:</t>
  </si>
  <si>
    <t>Parts Name/Tên linh kiện:</t>
  </si>
  <si>
    <t>Mold Name/Tên khuôn:</t>
  </si>
  <si>
    <t>Department/Bộ phận:</t>
  </si>
  <si>
    <t xml:space="preserve">Materia/Nguyên liệu: </t>
  </si>
  <si>
    <t xml:space="preserve">HRC : </t>
  </si>
  <si>
    <t>QTY/Số lượng:</t>
  </si>
  <si>
    <t>JUDGEMENT</t>
  </si>
  <si>
    <t>　　　　　　　A) Calipers　  　 B) Digital micrometer　  　 C) Microscope 　  　D) Comparator 　  　E) Pin gauge　  　 F) Micrometer</t>
  </si>
  <si>
    <t>　　　　　　　A) Thước cặp　 B) Thước đo điện tử　　   C) Kính hiểm vi         D) Bộ căn dưỡng 　　E) Đồng hồ đo　　 F) Panme</t>
  </si>
  <si>
    <t>Specification</t>
  </si>
  <si>
    <t>Sample No.</t>
  </si>
  <si>
    <t>Point/Điểm</t>
  </si>
  <si>
    <t>Nominal</t>
  </si>
  <si>
    <t>Tol/Dung sai</t>
  </si>
  <si>
    <t>Tool</t>
  </si>
  <si>
    <t>Remark/Ghi chú</t>
  </si>
  <si>
    <t>-</t>
  </si>
  <si>
    <t>+</t>
  </si>
  <si>
    <t>Details/Chi tiết</t>
  </si>
  <si>
    <t/>
  </si>
  <si>
    <t xml:space="preserve">Ngoại quan/  Appearance </t>
  </si>
  <si>
    <t>Lưu ý:</t>
  </si>
  <si>
    <t>-Tất cả linh kiện khi nhận về từ Nhà Cung Cấp bắt buộc phải được kiểm tra ngoại quan và kích thước như bản vẽ trước khi nhập kho .</t>
  </si>
  <si>
    <t>-All the mold part when receive in from Supplier must be checking appearance and dimensions before entering the warehouse stock .</t>
  </si>
  <si>
    <t>Prepare by
Lập</t>
  </si>
  <si>
    <t>Confirm by
Xác Nhận</t>
  </si>
  <si>
    <t xml:space="preserve"> Approved by
Phê Duyệt</t>
  </si>
  <si>
    <t>7139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</si>
</sst>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\ &quot;°&quot;"/>
    <numFmt numFmtId="165" formatCode="0.000"/>
    <numFmt numFmtId="166" formatCode="[$-409]d\-mmm\-yy;@"/>
  </numFmts>
  <fonts count="18" x14ac:knownFonts="1">
    <font>
      <sz val="11"/>
      <color theme="1"/>
      <name val="Calibri"/>
      <scheme val="minor"/>
    </font>
    <font>
      <sz val="14"/>
      <name val="ＭＳ 明朝"/>
      <family val="1"/>
    </font>
    <font>
      <b/>
      <sz val="16"/>
      <name val="Arial"/>
      <family val="2"/>
    </font>
    <font>
      <sz val="11"/>
      <color theme="1"/>
      <name val="Arial"/>
      <family val="2"/>
    </font>
    <font>
      <b/>
      <sz val="14"/>
      <color rgb="FF000000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12"/>
      <color theme="1"/>
      <name val="Arial"/>
      <family val="2"/>
    </font>
    <font>
      <sz val="13"/>
      <name val="Arial"/>
      <family val="2"/>
    </font>
    <font>
      <sz val="10"/>
      <name val="Arial"/>
      <family val="2"/>
    </font>
    <font>
      <b/>
      <sz val="13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1"/>
      <color theme="1"/>
      <name val="Arial"/>
      <family val="2"/>
    </font>
    <font>
      <sz val="13"/>
      <color theme="1"/>
      <name val="Arial"/>
      <family val="2"/>
    </font>
    <font>
      <sz val="11"/>
      <color rgb="FF00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21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right"/>
    </xf>
    <xf numFmtId="0" fontId="6" fillId="0" borderId="1" xfId="0" applyFont="1" applyBorder="1" applyAlignment="1">
      <alignment horizontal="right"/>
    </xf>
    <xf numFmtId="49" fontId="5" fillId="0" borderId="0" xfId="0" applyNumberFormat="1" applyFont="1" applyAlignment="1">
      <alignment horizontal="right"/>
    </xf>
    <xf numFmtId="0" fontId="5" fillId="0" borderId="1" xfId="0" applyFont="1" applyBorder="1" applyAlignment="1">
      <alignment horizontal="right" shrinkToFit="1"/>
    </xf>
    <xf numFmtId="0" fontId="5" fillId="0" borderId="0" xfId="0" applyFont="1" applyAlignment="1">
      <alignment horizontal="right" shrinkToFit="1"/>
    </xf>
    <xf numFmtId="0" fontId="6" fillId="0" borderId="8" xfId="0" applyFont="1" applyBorder="1" applyAlignment="1">
      <alignment horizontal="right"/>
    </xf>
    <xf numFmtId="164" fontId="5" fillId="0" borderId="8" xfId="0" applyNumberFormat="1" applyFont="1" applyBorder="1" applyAlignment="1">
      <alignment horizontal="right"/>
    </xf>
    <xf numFmtId="0" fontId="5" fillId="0" borderId="8" xfId="0" applyFont="1" applyBorder="1" applyAlignment="1">
      <alignment horizontal="righ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0" xfId="0" applyFont="1"/>
    <xf numFmtId="0" fontId="5" fillId="0" borderId="12" xfId="0" applyFont="1" applyBorder="1"/>
    <xf numFmtId="49" fontId="5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3" fillId="2" borderId="0" xfId="0" applyFont="1" applyFill="1"/>
    <xf numFmtId="0" fontId="7" fillId="0" borderId="5" xfId="0" quotePrefix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49" fontId="11" fillId="0" borderId="0" xfId="0" applyNumberFormat="1" applyFont="1" applyAlignment="1">
      <alignment wrapText="1"/>
    </xf>
    <xf numFmtId="0" fontId="5" fillId="0" borderId="7" xfId="0" applyFont="1" applyBorder="1" applyAlignment="1">
      <alignment vertical="center"/>
    </xf>
    <xf numFmtId="0" fontId="5" fillId="0" borderId="3" xfId="0" applyFont="1" applyBorder="1" applyAlignment="1">
      <alignment horizontal="left" vertical="center"/>
    </xf>
    <xf numFmtId="165" fontId="8" fillId="0" borderId="3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/>
    </xf>
    <xf numFmtId="0" fontId="5" fillId="0" borderId="18" xfId="0" applyFont="1" applyBorder="1" applyAlignment="1">
      <alignment horizontal="left"/>
    </xf>
    <xf numFmtId="0" fontId="5" fillId="0" borderId="18" xfId="0" applyFont="1" applyBorder="1"/>
    <xf numFmtId="0" fontId="5" fillId="0" borderId="23" xfId="0" applyFont="1" applyBorder="1" applyAlignment="1">
      <alignment horizontal="center" vertical="center"/>
    </xf>
    <xf numFmtId="165" fontId="8" fillId="0" borderId="20" xfId="0" applyNumberFormat="1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left" vertical="center"/>
    </xf>
    <xf numFmtId="0" fontId="5" fillId="2" borderId="29" xfId="0" applyFont="1" applyFill="1" applyBorder="1" applyAlignment="1">
      <alignment horizontal="center" vertical="center"/>
    </xf>
    <xf numFmtId="0" fontId="3" fillId="2" borderId="30" xfId="0" applyFont="1" applyFill="1" applyBorder="1"/>
    <xf numFmtId="0" fontId="3" fillId="2" borderId="7" xfId="0" applyFont="1" applyFill="1" applyBorder="1"/>
    <xf numFmtId="0" fontId="3" fillId="2" borderId="29" xfId="0" applyFont="1" applyFill="1" applyBorder="1"/>
    <xf numFmtId="0" fontId="7" fillId="0" borderId="5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9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vertical="center"/>
    </xf>
    <xf numFmtId="0" fontId="16" fillId="0" borderId="8" xfId="0" applyFont="1" applyBorder="1" applyAlignment="1">
      <alignment vertical="center"/>
    </xf>
    <xf numFmtId="0" fontId="3" fillId="0" borderId="18" xfId="0" quotePrefix="1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1" fillId="2" borderId="30" xfId="0" applyFont="1" applyFill="1" applyBorder="1" applyAlignment="1">
      <alignment horizontal="center" wrapText="1"/>
    </xf>
    <xf numFmtId="0" fontId="5" fillId="0" borderId="1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28" xfId="0" applyFont="1" applyBorder="1"/>
    <xf numFmtId="0" fontId="17" fillId="3" borderId="20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/>
    </xf>
    <xf numFmtId="49" fontId="5" fillId="0" borderId="0" xfId="0" applyNumberFormat="1" applyFont="1" applyAlignment="1">
      <alignment horizontal="right"/>
    </xf>
    <xf numFmtId="0" fontId="7" fillId="0" borderId="2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0" borderId="27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5" fillId="0" borderId="28" xfId="0" applyFont="1" applyBorder="1" applyAlignment="1">
      <alignment horizontal="left"/>
    </xf>
    <xf numFmtId="0" fontId="2" fillId="0" borderId="15" xfId="0" applyFont="1" applyBorder="1" applyAlignment="1">
      <alignment horizontal="center" wrapText="1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49" fontId="11" fillId="0" borderId="7" xfId="0" applyNumberFormat="1" applyFont="1" applyBorder="1" applyAlignment="1">
      <alignment horizontal="center" wrapText="1"/>
    </xf>
    <xf numFmtId="0" fontId="9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wrapText="1"/>
    </xf>
    <xf numFmtId="0" fontId="15" fillId="0" borderId="3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166" fontId="17" fillId="0" borderId="3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49" fontId="11" fillId="0" borderId="7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</cellXfs>
  <cellStyles count="2">
    <cellStyle name="Normal" xfId="0" builtinId="0"/>
    <cellStyle name="標準_Sheet3" xfId="1" xr:uid="{00000000-0005-0000-0000-000001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microsoft.com/office/2007/relationships/hdphoto" Target="../media/hdphoto2.wdp"/><Relationship Id="rId5" Type="http://schemas.openxmlformats.org/officeDocument/2006/relationships/image" Target="../media/image5.png"/><Relationship Id="rId10" Type="http://schemas.openxmlformats.org/officeDocument/2006/relationships/image" Target="../media/image9.png"/><Relationship Id="rId4" Type="http://schemas.openxmlformats.org/officeDocument/2006/relationships/image" Target="../media/image4.png"/><Relationship Id="rId9" Type="http://schemas.microsoft.com/office/2007/relationships/hdphoto" Target="../media/hdphoto1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625667</xdr:colOff>
      <xdr:row>0</xdr:row>
      <xdr:rowOff>110266</xdr:rowOff>
    </xdr:from>
    <xdr:to>
      <xdr:col>15</xdr:col>
      <xdr:colOff>1143000</xdr:colOff>
      <xdr:row>1</xdr:row>
      <xdr:rowOff>243840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A87EC0AD-6C85-4DE4-B37B-D00756647465}"/>
            </a:ext>
          </a:extLst>
        </xdr:cNvPr>
        <xdr:cNvGrpSpPr/>
      </xdr:nvGrpSpPr>
      <xdr:grpSpPr>
        <a:xfrm>
          <a:off x="7606131" y="110266"/>
          <a:ext cx="3919119" cy="541788"/>
          <a:chOff x="8884920" y="1005840"/>
          <a:chExt cx="5831204" cy="739211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774D7968-150B-26D5-EC93-1EE88613ED7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863549" y="1011060"/>
            <a:ext cx="1852575" cy="733991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A6BAD910-5346-D7B2-F73F-4FFD8505972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8884920" y="1015365"/>
            <a:ext cx="1971429" cy="721901"/>
          </a:xfrm>
          <a:prstGeom prst="rect">
            <a:avLst/>
          </a:prstGeom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77136339-D1BA-59CC-B813-0F58B9DCDB8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0877550" y="1005840"/>
            <a:ext cx="1961905" cy="731425"/>
          </a:xfrm>
          <a:prstGeom prst="rect">
            <a:avLst/>
          </a:prstGeom>
        </xdr:spPr>
      </xdr:pic>
    </xdr:grpSp>
    <xdr:clientData/>
  </xdr:twoCellAnchor>
  <xdr:twoCellAnchor editAs="oneCell">
    <xdr:from>
      <xdr:col>11</xdr:col>
      <xdr:colOff>53340</xdr:colOff>
      <xdr:row>4</xdr:row>
      <xdr:rowOff>51290</xdr:rowOff>
    </xdr:from>
    <xdr:to>
      <xdr:col>12</xdr:col>
      <xdr:colOff>601979</xdr:colOff>
      <xdr:row>7</xdr:row>
      <xdr:rowOff>99060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2C6DB0A-3AA5-45F0-A116-D40586633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09560" y="1285730"/>
          <a:ext cx="1242059" cy="756430"/>
        </a:xfrm>
        <a:prstGeom prst="rect">
          <a:avLst/>
        </a:prstGeom>
      </xdr:spPr>
    </xdr:pic>
    <xdr:clientData/>
  </xdr:twoCellAnchor>
  <xdr:twoCellAnchor editAs="oneCell">
    <xdr:from>
      <xdr:col>13</xdr:col>
      <xdr:colOff>68580</xdr:colOff>
      <xdr:row>4</xdr:row>
      <xdr:rowOff>117996</xdr:rowOff>
    </xdr:from>
    <xdr:to>
      <xdr:col>14</xdr:col>
      <xdr:colOff>586740</xdr:colOff>
      <xdr:row>7</xdr:row>
      <xdr:rowOff>60960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B5AC3AE-7429-49AC-B3AB-B951EAF91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11640" y="1352436"/>
          <a:ext cx="1211580" cy="651624"/>
        </a:xfrm>
        <a:prstGeom prst="rect">
          <a:avLst/>
        </a:prstGeom>
      </xdr:spPr>
    </xdr:pic>
    <xdr:clientData/>
  </xdr:twoCellAnchor>
  <xdr:twoCellAnchor editAs="oneCell">
    <xdr:from>
      <xdr:col>15</xdr:col>
      <xdr:colOff>64745</xdr:colOff>
      <xdr:row>4</xdr:row>
      <xdr:rowOff>80190</xdr:rowOff>
    </xdr:from>
    <xdr:to>
      <xdr:col>16</xdr:col>
      <xdr:colOff>6928</xdr:colOff>
      <xdr:row>7</xdr:row>
      <xdr:rowOff>60960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15E284F-6450-4009-BEE4-7B60BF6DC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694645" y="1314630"/>
          <a:ext cx="1154455" cy="689430"/>
        </a:xfrm>
        <a:prstGeom prst="rect">
          <a:avLst/>
        </a:prstGeom>
      </xdr:spPr>
    </xdr:pic>
    <xdr:clientData/>
  </xdr:twoCellAnchor>
  <xdr:twoCellAnchor editAs="oneCell">
    <xdr:from>
      <xdr:col>0</xdr:col>
      <xdr:colOff>91441</xdr:colOff>
      <xdr:row>0</xdr:row>
      <xdr:rowOff>91441</xdr:rowOff>
    </xdr:from>
    <xdr:to>
      <xdr:col>2</xdr:col>
      <xdr:colOff>664820</xdr:colOff>
      <xdr:row>1</xdr:row>
      <xdr:rowOff>350520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ADD3447-9604-426C-AED6-FAB63632C7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2422" t="4418" b="4418"/>
        <a:stretch>
          <a:fillRect/>
        </a:stretch>
      </xdr:blipFill>
      <xdr:spPr>
        <a:xfrm>
          <a:off x="91441" y="91441"/>
          <a:ext cx="2226919" cy="670559"/>
        </a:xfrm>
        <a:prstGeom prst="rect">
          <a:avLst/>
        </a:prstGeom>
      </xdr:spPr>
    </xdr:pic>
    <xdr:clientData/>
  </xdr:twoCellAnchor>
  <xdr:twoCellAnchor editAs="oneCell">
    <xdr:from>
      <xdr:col>7</xdr:col>
      <xdr:colOff>46264</xdr:colOff>
      <xdr:row>62</xdr:row>
      <xdr:rowOff>13607</xdr:rowOff>
    </xdr:from>
    <xdr:to>
      <xdr:col>8</xdr:col>
      <xdr:colOff>528793</xdr:colOff>
      <xdr:row>62</xdr:row>
      <xdr:rowOff>582387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940AB5-2124-457C-8546-84B7CEC14B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sharpenSoften amount="100000"/>
                  </a14:imgEffect>
                  <a14:imgEffect>
                    <a14:brightnessContrast bright="40000" contrast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4937" t="27337" r="25922" b="25014"/>
        <a:stretch>
          <a:fillRect/>
        </a:stretch>
      </xdr:blipFill>
      <xdr:spPr>
        <a:xfrm rot="10800000">
          <a:off x="4993821" y="14638564"/>
          <a:ext cx="1157443" cy="568780"/>
        </a:xfrm>
        <a:prstGeom prst="rect">
          <a:avLst/>
        </a:prstGeom>
      </xdr:spPr>
    </xdr:pic>
    <xdr:clientData/>
  </xdr:twoCellAnchor>
  <xdr:twoCellAnchor editAs="oneCell">
    <xdr:from>
      <xdr:col>13</xdr:col>
      <xdr:colOff>7327</xdr:colOff>
      <xdr:row>62</xdr:row>
      <xdr:rowOff>21981</xdr:rowOff>
    </xdr:from>
    <xdr:to>
      <xdr:col>14</xdr:col>
      <xdr:colOff>483945</xdr:colOff>
      <xdr:row>62</xdr:row>
      <xdr:rowOff>574431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D40448-3074-4DAC-893A-1BE7AA304E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sharpenSoften amount="100000"/>
                  </a14:imgEffect>
                  <a14:imgEffect>
                    <a14:brightnessContrast bright="62000" contrast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3352" t="23555" r="23856" b="21406"/>
        <a:stretch>
          <a:fillRect/>
        </a:stretch>
      </xdr:blipFill>
      <xdr:spPr>
        <a:xfrm rot="10800000">
          <a:off x="8997462" y="14617212"/>
          <a:ext cx="1150695" cy="552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B2E3EA6-325D-44F7-9FB7-51EF78A55CEC}">
  <we:reference id="wa200000142" version="1.0.0.0" store="en-US" storeType="OMEX"/>
  <we:alternateReferences>
    <we:reference id="WA200000142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2C3ED-5510-484A-98F8-01C2D47BA537}">
  <sheetPr codeName="Sheet3">
    <pageSetUpPr fitToPage="1"/>
  </sheetPr>
  <dimension ref="A1:AB64"/>
  <sheetViews>
    <sheetView tabSelected="1" view="pageBreakPreview" topLeftCell="A3" zoomScale="70" zoomScaleNormal="100" zoomScaleSheetLayoutView="70" workbookViewId="0">
      <selection activeCell="F23" sqref="F23"/>
    </sheetView>
  </sheetViews>
  <sheetFormatPr defaultColWidth="9" defaultRowHeight="14.25" x14ac:dyDescent="0.2"/>
  <cols>
    <col min="1" max="1" width="12.7109375" style="1" customWidth="1"/>
    <col min="2" max="2" width="11.42578125" style="1" customWidth="1"/>
    <col min="3" max="3" width="12.28515625" style="1" customWidth="1"/>
    <col min="4" max="4" width="10.28515625" style="1" customWidth="1"/>
    <col min="5" max="5" width="7.140625" style="1" customWidth="1"/>
    <col min="6" max="15" width="10.140625" style="1" customWidth="1"/>
    <col min="16" max="16" width="18.28515625" style="1" customWidth="1"/>
    <col min="17" max="18" width="9" style="1" customWidth="1"/>
    <col min="19" max="19" width="16.42578125" style="1" customWidth="1"/>
    <col min="20" max="20" width="9" style="1" customWidth="1"/>
    <col min="21" max="16384" width="9" style="1"/>
  </cols>
  <sheetData>
    <row r="1" spans="1:28" ht="32.450000000000003" customHeight="1" x14ac:dyDescent="0.2">
      <c r="A1" s="85" t="s">
        <v>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7"/>
    </row>
    <row r="2" spans="1:28" ht="34.9" customHeight="1" x14ac:dyDescent="0.2">
      <c r="A2" s="88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90"/>
    </row>
    <row r="3" spans="1:28" s="54" customFormat="1" ht="15.4" customHeight="1" x14ac:dyDescent="0.25">
      <c r="A3" s="110" t="s">
        <v>1</v>
      </c>
      <c r="B3" s="102" t="s">
        <v>2</v>
      </c>
      <c r="C3" s="112"/>
      <c r="D3" s="93" t="s">
        <v>3</v>
      </c>
      <c r="E3" s="93"/>
      <c r="F3" s="93"/>
      <c r="G3" s="93"/>
      <c r="H3" s="93"/>
      <c r="I3" s="93"/>
      <c r="J3" s="93"/>
      <c r="K3" s="93"/>
      <c r="L3" s="98" t="s">
        <v>4</v>
      </c>
      <c r="M3" s="99"/>
      <c r="N3" s="102" t="s">
        <v>5</v>
      </c>
      <c r="O3" s="99"/>
      <c r="P3" s="108" t="s">
        <v>6</v>
      </c>
    </row>
    <row r="4" spans="1:28" s="54" customFormat="1" ht="15.4" customHeight="1" x14ac:dyDescent="0.25">
      <c r="A4" s="111"/>
      <c r="B4" s="113"/>
      <c r="C4" s="114"/>
      <c r="D4" s="93"/>
      <c r="E4" s="93"/>
      <c r="F4" s="93"/>
      <c r="G4" s="93"/>
      <c r="H4" s="93"/>
      <c r="I4" s="93"/>
      <c r="J4" s="93"/>
      <c r="K4" s="93"/>
      <c r="L4" s="100"/>
      <c r="M4" s="101"/>
      <c r="N4" s="103"/>
      <c r="O4" s="101"/>
      <c r="P4" s="109"/>
    </row>
    <row r="5" spans="1:28" s="54" customFormat="1" ht="19.149999999999999" customHeight="1" x14ac:dyDescent="0.25">
      <c r="A5" s="56">
        <v>0</v>
      </c>
      <c r="B5" s="115">
        <v>46038</v>
      </c>
      <c r="C5" s="115"/>
      <c r="D5" s="94" t="s">
        <v>7</v>
      </c>
      <c r="E5" s="95"/>
      <c r="F5" s="95"/>
      <c r="G5" s="95"/>
      <c r="H5" s="95"/>
      <c r="I5" s="95"/>
      <c r="J5" s="95"/>
      <c r="K5" s="95"/>
      <c r="L5" s="104"/>
      <c r="M5" s="104"/>
      <c r="N5" s="105"/>
      <c r="O5" s="105"/>
      <c r="P5" s="105"/>
    </row>
    <row r="6" spans="1:28" s="54" customFormat="1" ht="19.149999999999999" customHeight="1" x14ac:dyDescent="0.25">
      <c r="A6" s="67">
        <v>1</v>
      </c>
      <c r="B6" s="116">
        <v>46276</v>
      </c>
      <c r="C6" s="116"/>
      <c r="D6" s="96" t="s">
        <v>8</v>
      </c>
      <c r="E6" s="97"/>
      <c r="F6" s="97"/>
      <c r="G6" s="97"/>
      <c r="H6" s="97"/>
      <c r="I6" s="97"/>
      <c r="J6" s="97"/>
      <c r="K6" s="97"/>
      <c r="L6" s="104"/>
      <c r="M6" s="104"/>
      <c r="N6" s="105"/>
      <c r="O6" s="105"/>
      <c r="P6" s="105"/>
    </row>
    <row r="7" spans="1:28" s="54" customFormat="1" ht="19.149999999999999" customHeight="1" x14ac:dyDescent="0.25">
      <c r="A7" s="55"/>
      <c r="B7" s="92"/>
      <c r="C7" s="92"/>
      <c r="D7" s="57"/>
      <c r="E7" s="58"/>
      <c r="F7" s="58"/>
      <c r="G7" s="58"/>
      <c r="H7" s="58"/>
      <c r="I7" s="58"/>
      <c r="J7" s="58"/>
      <c r="K7" s="58"/>
      <c r="L7" s="104"/>
      <c r="M7" s="104"/>
      <c r="N7" s="105"/>
      <c r="O7" s="105"/>
      <c r="P7" s="105"/>
    </row>
    <row r="8" spans="1:28" s="54" customFormat="1" ht="19.149999999999999" customHeight="1" x14ac:dyDescent="0.25">
      <c r="A8" s="55"/>
      <c r="B8" s="92"/>
      <c r="C8" s="92"/>
      <c r="D8" s="57"/>
      <c r="E8" s="58"/>
      <c r="F8" s="58"/>
      <c r="G8" s="58"/>
      <c r="H8" s="58"/>
      <c r="I8" s="58"/>
      <c r="J8" s="58"/>
      <c r="K8" s="58"/>
      <c r="L8" s="104"/>
      <c r="M8" s="104"/>
      <c r="N8" s="105"/>
      <c r="O8" s="105"/>
      <c r="P8" s="105"/>
    </row>
    <row r="9" spans="1:28" s="54" customFormat="1" ht="19.149999999999999" customHeight="1" x14ac:dyDescent="0.25">
      <c r="A9" s="55"/>
      <c r="B9" s="92"/>
      <c r="C9" s="92"/>
      <c r="D9" s="57"/>
      <c r="E9" s="58"/>
      <c r="F9" s="58"/>
      <c r="G9" s="58"/>
      <c r="H9" s="58"/>
      <c r="I9" s="58"/>
      <c r="J9" s="58"/>
      <c r="K9" s="58"/>
      <c r="L9" s="106" t="s">
        <v>9</v>
      </c>
      <c r="M9" s="106"/>
      <c r="N9" s="94" t="s">
        <v>10</v>
      </c>
      <c r="O9" s="107"/>
      <c r="P9" s="56" t="s">
        <v>11</v>
      </c>
    </row>
    <row r="10" spans="1:28" ht="24" customHeight="1" x14ac:dyDescent="0.2">
      <c r="A10" s="36"/>
      <c r="B10" s="2"/>
      <c r="C10" s="2"/>
      <c r="D10" s="2"/>
      <c r="E10" s="2"/>
      <c r="F10" s="2"/>
      <c r="G10" s="2"/>
      <c r="H10" s="2"/>
      <c r="I10" s="2"/>
      <c r="J10" s="2"/>
      <c r="K10" s="64" t="s">
        <v>12</v>
      </c>
      <c r="L10" s="64"/>
      <c r="M10" s="62"/>
      <c r="N10" s="62"/>
      <c r="O10" s="64"/>
      <c r="P10" s="65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</row>
    <row r="11" spans="1:28" ht="19.899999999999999" customHeight="1" x14ac:dyDescent="0.2">
      <c r="A11" s="68" t="s">
        <v>13</v>
      </c>
      <c r="B11" s="69"/>
      <c r="C11" s="4"/>
      <c r="D11" s="70" t="s">
        <v>14</v>
      </c>
      <c r="E11" s="70"/>
      <c r="F11" s="70"/>
      <c r="G11" s="6"/>
      <c r="H11" s="6"/>
      <c r="I11" s="7"/>
      <c r="J11" s="3"/>
      <c r="K11" s="17" t="s">
        <v>15</v>
      </c>
      <c r="L11" s="17"/>
      <c r="M11" s="62"/>
      <c r="N11" s="62"/>
      <c r="O11" s="17"/>
      <c r="P11" s="37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</row>
    <row r="12" spans="1:28" ht="19.899999999999999" customHeight="1" x14ac:dyDescent="0.2">
      <c r="A12" s="68" t="s">
        <v>16</v>
      </c>
      <c r="B12" s="69"/>
      <c r="C12" s="8"/>
      <c r="D12" s="3"/>
      <c r="E12" s="3"/>
      <c r="F12" s="5" t="s">
        <v>17</v>
      </c>
      <c r="G12" s="9"/>
      <c r="H12" s="10"/>
      <c r="I12" s="3"/>
      <c r="J12" s="3"/>
      <c r="K12" s="17" t="s">
        <v>18</v>
      </c>
      <c r="L12" s="17"/>
      <c r="M12" s="63"/>
      <c r="N12" s="35"/>
      <c r="O12" s="17"/>
      <c r="P12" s="37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</row>
    <row r="13" spans="1:28" ht="19.899999999999999" customHeight="1" x14ac:dyDescent="0.2">
      <c r="A13" s="38"/>
      <c r="B13" s="11"/>
      <c r="C13" s="12"/>
      <c r="D13" s="13"/>
      <c r="E13" s="13"/>
      <c r="F13" s="14"/>
      <c r="G13" s="15"/>
      <c r="H13" s="13"/>
      <c r="I13" s="13"/>
      <c r="J13" s="13"/>
      <c r="K13" s="16"/>
      <c r="L13" s="16"/>
      <c r="M13" s="16"/>
      <c r="N13" s="16"/>
      <c r="O13" s="2"/>
      <c r="P13" s="66" t="s">
        <v>19</v>
      </c>
      <c r="S13" s="120"/>
      <c r="T13" s="120"/>
      <c r="U13" s="120"/>
      <c r="V13" s="120"/>
      <c r="W13" s="120"/>
      <c r="X13" s="120"/>
      <c r="Y13" s="120"/>
      <c r="Z13" s="120"/>
      <c r="AA13" s="120"/>
      <c r="AB13" s="120"/>
    </row>
    <row r="14" spans="1:28" ht="19.149999999999999" customHeight="1" x14ac:dyDescent="0.2">
      <c r="A14" s="39" t="s">
        <v>20</v>
      </c>
      <c r="B14" s="17"/>
      <c r="C14" s="18"/>
      <c r="D14" s="17"/>
      <c r="E14" s="18"/>
      <c r="F14" s="17"/>
      <c r="G14" s="18"/>
      <c r="H14" s="17"/>
      <c r="I14" s="18"/>
      <c r="J14" s="17"/>
      <c r="K14" s="18"/>
      <c r="L14" s="13"/>
      <c r="M14" s="13"/>
      <c r="N14" s="13"/>
      <c r="O14" s="13"/>
      <c r="P14" s="74" t="str">
        <f>IF(COUNTIF(P20:P65, "NG")&gt;0, "REJECTED", IF(COUNTIF(P20:P65, "OK")&gt;0, "PASSED", ""))</f>
        <v/>
      </c>
      <c r="Q14" s="13"/>
      <c r="R14" s="19"/>
      <c r="S14" s="120"/>
      <c r="T14" s="120"/>
      <c r="U14" s="120"/>
      <c r="V14" s="120"/>
      <c r="W14" s="120"/>
      <c r="X14" s="120"/>
      <c r="Y14" s="120"/>
      <c r="Z14" s="120"/>
      <c r="AA14" s="120"/>
      <c r="AB14" s="120"/>
    </row>
    <row r="15" spans="1:28" ht="19.149999999999999" customHeight="1" x14ac:dyDescent="0.2">
      <c r="A15" s="40" t="s">
        <v>21</v>
      </c>
      <c r="B15" s="17"/>
      <c r="C15" s="18"/>
      <c r="D15" s="17"/>
      <c r="E15" s="18"/>
      <c r="F15" s="17"/>
      <c r="G15" s="17"/>
      <c r="I15" s="18"/>
      <c r="J15" s="17"/>
      <c r="K15" s="17"/>
      <c r="L15" s="13"/>
      <c r="M15" s="13"/>
      <c r="N15" s="13"/>
      <c r="O15" s="13"/>
      <c r="P15" s="75"/>
      <c r="Q15" s="13"/>
      <c r="R15" s="19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</row>
    <row r="16" spans="1:28" x14ac:dyDescent="0.2">
      <c r="A16" s="41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37"/>
      <c r="Q16" s="13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</row>
    <row r="17" spans="1:28" ht="20.45" customHeight="1" x14ac:dyDescent="0.2">
      <c r="A17" s="71" t="s">
        <v>22</v>
      </c>
      <c r="B17" s="72"/>
      <c r="C17" s="73"/>
      <c r="D17" s="73"/>
      <c r="E17" s="72"/>
      <c r="F17" s="117" t="s">
        <v>23</v>
      </c>
      <c r="G17" s="117"/>
      <c r="H17" s="117"/>
      <c r="I17" s="117"/>
      <c r="J17" s="117"/>
      <c r="K17" s="117"/>
      <c r="L17" s="117"/>
      <c r="M17" s="117"/>
      <c r="N17" s="117"/>
      <c r="O17" s="118"/>
      <c r="P17" s="42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</row>
    <row r="18" spans="1:28" ht="15" x14ac:dyDescent="0.2">
      <c r="A18" s="77" t="s">
        <v>24</v>
      </c>
      <c r="B18" s="72" t="s">
        <v>25</v>
      </c>
      <c r="C18" s="80" t="s">
        <v>26</v>
      </c>
      <c r="D18" s="81"/>
      <c r="E18" s="72" t="s">
        <v>27</v>
      </c>
      <c r="F18" s="53">
        <v>1</v>
      </c>
      <c r="G18" s="53">
        <v>2</v>
      </c>
      <c r="H18" s="53">
        <v>3</v>
      </c>
      <c r="I18" s="53">
        <v>4</v>
      </c>
      <c r="J18" s="53">
        <v>5</v>
      </c>
      <c r="K18" s="53">
        <v>6</v>
      </c>
      <c r="L18" s="53">
        <v>7</v>
      </c>
      <c r="M18" s="53">
        <v>8</v>
      </c>
      <c r="N18" s="53">
        <v>9</v>
      </c>
      <c r="O18" s="53">
        <v>10</v>
      </c>
      <c r="P18" s="43" t="s">
        <v>28</v>
      </c>
      <c r="S18" s="120"/>
      <c r="T18" s="120"/>
      <c r="U18" s="120"/>
      <c r="V18" s="120"/>
      <c r="W18" s="120"/>
      <c r="X18" s="120"/>
      <c r="Y18" s="120"/>
      <c r="Z18" s="120"/>
      <c r="AA18" s="120"/>
      <c r="AB18" s="120"/>
    </row>
    <row r="19" spans="1:28" ht="15" x14ac:dyDescent="0.2">
      <c r="A19" s="78"/>
      <c r="B19" s="79"/>
      <c r="C19" s="27" t="s">
        <v>29</v>
      </c>
      <c r="D19" s="21" t="s">
        <v>30</v>
      </c>
      <c r="E19" s="76"/>
      <c r="F19" s="80" t="s">
        <v>31</v>
      </c>
      <c r="G19" s="73"/>
      <c r="H19" s="73"/>
      <c r="I19" s="73"/>
      <c r="J19" s="73"/>
      <c r="K19" s="73"/>
      <c r="L19" s="73"/>
      <c r="M19" s="73"/>
      <c r="N19" s="73"/>
      <c r="O19" s="81"/>
      <c r="P19" s="44"/>
      <c r="S19" s="120"/>
      <c r="T19" s="120"/>
      <c r="U19" s="120"/>
      <c r="V19" s="120"/>
      <c r="W19" s="120"/>
      <c r="X19" s="120"/>
      <c r="Y19" s="120"/>
      <c r="Z19" s="120"/>
      <c r="AA19" s="120"/>
      <c r="AB19" s="120"/>
    </row>
    <row r="20" spans="1:28" ht="18.600000000000001" customHeight="1" x14ac:dyDescent="0.2">
      <c r="A20" s="45"/>
      <c r="B20" s="34"/>
      <c r="C20" s="24"/>
      <c r="D20" s="24"/>
      <c r="E20" s="22"/>
      <c r="F20" s="33"/>
      <c r="G20" s="33"/>
      <c r="H20" s="33"/>
      <c r="I20" s="33" t="s">
        <v>32</v>
      </c>
      <c r="J20" s="33" t="s">
        <v>32</v>
      </c>
      <c r="K20" s="33"/>
      <c r="L20" s="33" t="s">
        <v>32</v>
      </c>
      <c r="M20" s="33" t="s">
        <v>32</v>
      </c>
      <c r="N20" s="33" t="s">
        <v>32</v>
      </c>
      <c r="O20" s="33" t="s">
        <v>32</v>
      </c>
      <c r="P20" s="46" t="str">
        <f>IF(COUNT(F20:O20)=0, "", IF(OR(MIN(F20:O20) &lt; (B20+C20), MAX(F20:O20) &gt; (B20+D20)), "NG", "OK"))</f>
        <v/>
      </c>
      <c r="S20" s="120"/>
      <c r="T20" s="120"/>
      <c r="U20" s="120"/>
      <c r="V20" s="120"/>
      <c r="W20" s="120"/>
      <c r="X20" s="120"/>
      <c r="Y20" s="120"/>
      <c r="Z20" s="120"/>
      <c r="AA20" s="120"/>
      <c r="AB20" s="120"/>
    </row>
    <row r="21" spans="1:28" ht="18.600000000000001" customHeight="1" x14ac:dyDescent="0.2">
      <c r="A21" s="45"/>
      <c r="B21" s="34"/>
      <c r="C21" s="24"/>
      <c r="D21" s="24"/>
      <c r="E21" s="22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46" t="str">
        <f t="shared" ref="P21:P58" si="0">IF(COUNT(F21:O21)=0, "", IF(OR(MIN(F21:O21) &lt; (B21+C21), MAX(F21:O21) &gt; (B21+D21)), "NG", "OK"))</f>
        <v/>
      </c>
      <c r="S21" s="120"/>
      <c r="T21" s="120"/>
      <c r="U21" s="120"/>
      <c r="V21" s="120"/>
      <c r="W21" s="120"/>
      <c r="X21" s="120"/>
      <c r="Y21" s="120"/>
      <c r="Z21" s="120"/>
      <c r="AA21" s="120"/>
      <c r="AB21" s="120"/>
    </row>
    <row r="22" spans="1:28" ht="18.600000000000001" customHeight="1" x14ac:dyDescent="0.2">
      <c r="A22" s="45"/>
      <c r="B22" s="34"/>
      <c r="C22" s="24"/>
      <c r="D22" s="24"/>
      <c r="E22" s="22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46" t="str">
        <f t="shared" si="0"/>
        <v/>
      </c>
      <c r="S22" s="120"/>
      <c r="T22" s="120"/>
      <c r="U22" s="120"/>
      <c r="V22" s="120"/>
      <c r="W22" s="120"/>
      <c r="X22" s="120"/>
      <c r="Y22" s="120"/>
      <c r="Z22" s="120"/>
      <c r="AA22" s="120"/>
      <c r="AB22" s="120"/>
    </row>
    <row r="23" spans="1:28" ht="18.600000000000001" customHeight="1" x14ac:dyDescent="0.2">
      <c r="A23" s="45"/>
      <c r="B23" s="24"/>
      <c r="C23" s="24"/>
      <c r="D23" s="24"/>
      <c r="E23" s="22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46" t="str">
        <f t="shared" si="0"/>
        <v/>
      </c>
      <c r="S23" s="120"/>
      <c r="T23" s="120"/>
      <c r="U23" s="120"/>
      <c r="V23" s="120"/>
      <c r="W23" s="120"/>
      <c r="X23" s="120"/>
      <c r="Y23" s="120"/>
      <c r="Z23" s="120"/>
      <c r="AA23" s="120"/>
      <c r="AB23" s="120"/>
    </row>
    <row r="24" spans="1:28" ht="18.600000000000001" customHeight="1" x14ac:dyDescent="0.2">
      <c r="A24" s="45"/>
      <c r="B24" s="24"/>
      <c r="C24" s="24"/>
      <c r="D24" s="24"/>
      <c r="E24" s="22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46" t="str">
        <f t="shared" si="0"/>
        <v/>
      </c>
      <c r="S24" s="120"/>
      <c r="T24" s="120"/>
      <c r="U24" s="120"/>
      <c r="V24" s="120"/>
      <c r="W24" s="120"/>
      <c r="X24" s="120"/>
      <c r="Y24" s="120"/>
      <c r="Z24" s="120"/>
      <c r="AA24" s="120"/>
      <c r="AB24" s="120"/>
    </row>
    <row r="25" spans="1:28" ht="18.600000000000001" customHeight="1" x14ac:dyDescent="0.2">
      <c r="A25" s="45"/>
      <c r="B25" s="24"/>
      <c r="C25" s="24"/>
      <c r="D25" s="24"/>
      <c r="E25" s="22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46" t="str">
        <f t="shared" si="0"/>
        <v/>
      </c>
      <c r="S25" s="120"/>
      <c r="T25" s="120"/>
      <c r="U25" s="120"/>
      <c r="V25" s="120"/>
      <c r="W25" s="120"/>
      <c r="X25" s="120"/>
      <c r="Y25" s="120"/>
      <c r="Z25" s="120"/>
      <c r="AA25" s="120"/>
      <c r="AB25" s="120"/>
    </row>
    <row r="26" spans="1:28" ht="18.600000000000001" customHeight="1" x14ac:dyDescent="0.2">
      <c r="A26" s="45"/>
      <c r="B26" s="24"/>
      <c r="C26" s="24"/>
      <c r="D26" s="24"/>
      <c r="E26" s="22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46" t="str">
        <f t="shared" si="0"/>
        <v/>
      </c>
      <c r="S26" s="120"/>
      <c r="T26" s="120"/>
      <c r="U26" s="120"/>
      <c r="V26" s="120"/>
      <c r="W26" s="120"/>
      <c r="X26" s="120"/>
      <c r="Y26" s="120"/>
      <c r="Z26" s="120"/>
      <c r="AA26" s="120"/>
      <c r="AB26" s="120"/>
    </row>
    <row r="27" spans="1:28" ht="18.600000000000001" customHeight="1" x14ac:dyDescent="0.2">
      <c r="A27" s="45"/>
      <c r="B27" s="24"/>
      <c r="C27" s="24"/>
      <c r="D27" s="24"/>
      <c r="E27" s="22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46" t="str">
        <f t="shared" si="0"/>
        <v/>
      </c>
      <c r="S27" s="120"/>
      <c r="T27" s="120"/>
      <c r="U27" s="120"/>
      <c r="V27" s="120"/>
      <c r="W27" s="120"/>
      <c r="X27" s="120"/>
      <c r="Y27" s="120"/>
      <c r="Z27" s="120"/>
      <c r="AA27" s="120"/>
      <c r="AB27" s="120"/>
    </row>
    <row r="28" spans="1:28" ht="18.600000000000001" customHeight="1" x14ac:dyDescent="0.2">
      <c r="A28" s="45"/>
      <c r="B28" s="24"/>
      <c r="C28" s="24"/>
      <c r="D28" s="24"/>
      <c r="E28" s="22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46" t="str">
        <f t="shared" si="0"/>
        <v/>
      </c>
      <c r="S28" s="120"/>
      <c r="T28" s="120"/>
      <c r="U28" s="120"/>
      <c r="V28" s="120"/>
      <c r="W28" s="120"/>
      <c r="X28" s="120"/>
      <c r="Y28" s="120"/>
      <c r="Z28" s="120"/>
      <c r="AA28" s="120"/>
      <c r="AB28" s="120"/>
    </row>
    <row r="29" spans="1:28" ht="18.600000000000001" customHeight="1" x14ac:dyDescent="0.2">
      <c r="A29" s="45"/>
      <c r="B29" s="24"/>
      <c r="C29" s="24"/>
      <c r="D29" s="24"/>
      <c r="E29" s="22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46" t="str">
        <f t="shared" si="0"/>
        <v/>
      </c>
      <c r="S29" s="120"/>
      <c r="T29" s="120"/>
      <c r="U29" s="120"/>
      <c r="V29" s="120"/>
      <c r="W29" s="120"/>
      <c r="X29" s="120"/>
      <c r="Y29" s="120"/>
      <c r="Z29" s="120"/>
      <c r="AA29" s="120"/>
      <c r="AB29" s="120"/>
    </row>
    <row r="30" spans="1:28" ht="18.600000000000001" customHeight="1" x14ac:dyDescent="0.2">
      <c r="A30" s="45"/>
      <c r="B30" s="34"/>
      <c r="C30" s="24"/>
      <c r="D30" s="24"/>
      <c r="E30" s="22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46" t="str">
        <f t="shared" si="0"/>
        <v/>
      </c>
      <c r="S30" s="120"/>
      <c r="T30" s="120"/>
      <c r="U30" s="120"/>
      <c r="V30" s="120"/>
      <c r="W30" s="120"/>
      <c r="X30" s="120"/>
      <c r="Y30" s="120"/>
      <c r="Z30" s="120"/>
      <c r="AA30" s="120"/>
      <c r="AB30" s="120"/>
    </row>
    <row r="31" spans="1:28" ht="18.600000000000001" customHeight="1" x14ac:dyDescent="0.2">
      <c r="A31" s="45"/>
      <c r="B31" s="34"/>
      <c r="C31" s="24"/>
      <c r="D31" s="24"/>
      <c r="E31" s="22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46" t="str">
        <f t="shared" si="0"/>
        <v/>
      </c>
      <c r="S31" s="120"/>
      <c r="T31" s="120"/>
      <c r="U31" s="120"/>
      <c r="V31" s="120"/>
      <c r="W31" s="120"/>
      <c r="X31" s="120"/>
      <c r="Y31" s="120"/>
      <c r="Z31" s="120"/>
      <c r="AA31" s="120"/>
      <c r="AB31" s="120"/>
    </row>
    <row r="32" spans="1:28" ht="18.600000000000001" customHeight="1" x14ac:dyDescent="0.2">
      <c r="A32" s="45"/>
      <c r="B32" s="34"/>
      <c r="C32" s="24"/>
      <c r="D32" s="24"/>
      <c r="E32" s="22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46" t="str">
        <f t="shared" si="0"/>
        <v/>
      </c>
      <c r="S32" s="120"/>
      <c r="T32" s="120"/>
      <c r="U32" s="120"/>
      <c r="V32" s="120"/>
      <c r="W32" s="120"/>
      <c r="X32" s="120"/>
      <c r="Y32" s="120"/>
      <c r="Z32" s="120"/>
      <c r="AA32" s="120"/>
      <c r="AB32" s="120"/>
    </row>
    <row r="33" spans="1:28" ht="18.600000000000001" customHeight="1" x14ac:dyDescent="0.2">
      <c r="A33" s="45"/>
      <c r="B33" s="34"/>
      <c r="C33" s="24"/>
      <c r="D33" s="24"/>
      <c r="E33" s="22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46" t="str">
        <f t="shared" si="0"/>
        <v/>
      </c>
      <c r="S33" s="120"/>
      <c r="T33" s="120"/>
      <c r="U33" s="120"/>
      <c r="V33" s="120"/>
      <c r="W33" s="120"/>
      <c r="X33" s="120"/>
      <c r="Y33" s="120"/>
      <c r="Z33" s="120"/>
      <c r="AA33" s="120"/>
      <c r="AB33" s="120"/>
    </row>
    <row r="34" spans="1:28" ht="18.600000000000001" customHeight="1" x14ac:dyDescent="0.2">
      <c r="A34" s="45"/>
      <c r="B34" s="34"/>
      <c r="C34" s="24"/>
      <c r="D34" s="24"/>
      <c r="E34" s="22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46" t="str">
        <f t="shared" si="0"/>
        <v/>
      </c>
      <c r="S34" s="120"/>
      <c r="T34" s="120"/>
      <c r="U34" s="120"/>
      <c r="V34" s="120"/>
      <c r="W34" s="120"/>
      <c r="X34" s="120"/>
      <c r="Y34" s="120"/>
      <c r="Z34" s="120"/>
      <c r="AA34" s="120"/>
      <c r="AB34" s="120"/>
    </row>
    <row r="35" spans="1:28" ht="18.600000000000001" customHeight="1" x14ac:dyDescent="0.2">
      <c r="A35" s="45"/>
      <c r="B35" s="34"/>
      <c r="C35" s="24"/>
      <c r="D35" s="24"/>
      <c r="E35" s="22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46" t="str">
        <f t="shared" si="0"/>
        <v/>
      </c>
      <c r="S35" s="120"/>
      <c r="T35" s="120"/>
      <c r="U35" s="120"/>
      <c r="V35" s="120"/>
      <c r="W35" s="120"/>
      <c r="X35" s="120"/>
      <c r="Y35" s="120"/>
      <c r="Z35" s="120"/>
      <c r="AA35" s="120"/>
      <c r="AB35" s="120"/>
    </row>
    <row r="36" spans="1:28" ht="18.600000000000001" customHeight="1" x14ac:dyDescent="0.2">
      <c r="A36" s="45"/>
      <c r="B36" s="34"/>
      <c r="C36" s="24"/>
      <c r="D36" s="24"/>
      <c r="E36" s="22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46" t="str">
        <f t="shared" si="0"/>
        <v/>
      </c>
      <c r="S36" s="120"/>
      <c r="T36" s="120"/>
      <c r="U36" s="120"/>
      <c r="V36" s="120"/>
      <c r="W36" s="120"/>
      <c r="X36" s="120"/>
      <c r="Y36" s="120"/>
      <c r="Z36" s="120"/>
      <c r="AA36" s="120"/>
      <c r="AB36" s="120"/>
    </row>
    <row r="37" spans="1:28" ht="18.600000000000001" customHeight="1" x14ac:dyDescent="0.2">
      <c r="A37" s="45"/>
      <c r="B37" s="34"/>
      <c r="C37" s="24"/>
      <c r="D37" s="24"/>
      <c r="E37" s="22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46" t="str">
        <f t="shared" si="0"/>
        <v/>
      </c>
      <c r="S37" s="120"/>
      <c r="T37" s="120"/>
      <c r="U37" s="120"/>
      <c r="V37" s="120"/>
      <c r="W37" s="120"/>
      <c r="X37" s="120"/>
      <c r="Y37" s="120"/>
      <c r="Z37" s="120"/>
      <c r="AA37" s="120"/>
      <c r="AB37" s="120"/>
    </row>
    <row r="38" spans="1:28" ht="18.600000000000001" customHeight="1" x14ac:dyDescent="0.2">
      <c r="A38" s="45"/>
      <c r="B38" s="34"/>
      <c r="C38" s="24"/>
      <c r="D38" s="24"/>
      <c r="E38" s="22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46" t="str">
        <f t="shared" si="0"/>
        <v/>
      </c>
      <c r="S38" s="120"/>
      <c r="T38" s="120"/>
      <c r="U38" s="120"/>
      <c r="V38" s="120"/>
      <c r="W38" s="120"/>
      <c r="X38" s="120"/>
      <c r="Y38" s="120"/>
      <c r="Z38" s="120"/>
      <c r="AA38" s="120"/>
      <c r="AB38" s="120"/>
    </row>
    <row r="39" spans="1:28" ht="18.600000000000001" customHeight="1" x14ac:dyDescent="0.2">
      <c r="A39" s="45"/>
      <c r="B39" s="34"/>
      <c r="C39" s="24"/>
      <c r="D39" s="24"/>
      <c r="E39" s="22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46" t="str">
        <f t="shared" si="0"/>
        <v/>
      </c>
      <c r="S39" s="120"/>
      <c r="T39" s="120"/>
      <c r="U39" s="120"/>
      <c r="V39" s="120"/>
      <c r="W39" s="120"/>
      <c r="X39" s="120"/>
      <c r="Y39" s="120"/>
      <c r="Z39" s="120"/>
      <c r="AA39" s="120"/>
      <c r="AB39" s="120"/>
    </row>
    <row r="40" spans="1:28" ht="18.600000000000001" customHeight="1" x14ac:dyDescent="0.2">
      <c r="A40" s="45"/>
      <c r="B40" s="34"/>
      <c r="C40" s="24"/>
      <c r="D40" s="24"/>
      <c r="E40" s="22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46" t="str">
        <f t="shared" si="0"/>
        <v/>
      </c>
      <c r="S40" s="120"/>
      <c r="T40" s="120"/>
      <c r="U40" s="120"/>
      <c r="V40" s="120"/>
      <c r="W40" s="120"/>
      <c r="X40" s="120"/>
      <c r="Y40" s="120"/>
      <c r="Z40" s="120"/>
      <c r="AA40" s="120"/>
      <c r="AB40" s="120"/>
    </row>
    <row r="41" spans="1:28" ht="18.600000000000001" customHeight="1" x14ac:dyDescent="0.2">
      <c r="A41" s="45"/>
      <c r="B41" s="34"/>
      <c r="C41" s="24"/>
      <c r="D41" s="24"/>
      <c r="E41" s="22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46" t="str">
        <f t="shared" si="0"/>
        <v/>
      </c>
      <c r="S41" s="120"/>
      <c r="T41" s="120"/>
      <c r="U41" s="120"/>
      <c r="V41" s="120"/>
      <c r="W41" s="120"/>
      <c r="X41" s="120"/>
      <c r="Y41" s="120"/>
      <c r="Z41" s="120"/>
      <c r="AA41" s="120"/>
      <c r="AB41" s="120"/>
    </row>
    <row r="42" spans="1:28" ht="18.600000000000001" customHeight="1" x14ac:dyDescent="0.2">
      <c r="A42" s="45"/>
      <c r="B42" s="34"/>
      <c r="C42" s="24"/>
      <c r="D42" s="24"/>
      <c r="E42" s="22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46" t="str">
        <f t="shared" si="0"/>
        <v/>
      </c>
      <c r="S42" s="120"/>
      <c r="T42" s="120"/>
      <c r="U42" s="120"/>
      <c r="V42" s="120"/>
      <c r="W42" s="120"/>
      <c r="X42" s="120"/>
      <c r="Y42" s="120"/>
      <c r="Z42" s="120"/>
      <c r="AA42" s="120"/>
      <c r="AB42" s="120"/>
    </row>
    <row r="43" spans="1:28" ht="18.600000000000001" customHeight="1" x14ac:dyDescent="0.2">
      <c r="A43" s="45"/>
      <c r="B43" s="34"/>
      <c r="C43" s="24"/>
      <c r="D43" s="24"/>
      <c r="E43" s="22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46" t="str">
        <f t="shared" si="0"/>
        <v/>
      </c>
      <c r="S43" s="120"/>
      <c r="T43" s="120"/>
      <c r="U43" s="120"/>
      <c r="V43" s="120"/>
      <c r="W43" s="120"/>
      <c r="X43" s="120"/>
      <c r="Y43" s="120"/>
      <c r="Z43" s="120"/>
      <c r="AA43" s="120"/>
      <c r="AB43" s="120"/>
    </row>
    <row r="44" spans="1:28" ht="18.600000000000001" customHeight="1" x14ac:dyDescent="0.2">
      <c r="A44" s="45"/>
      <c r="B44" s="34"/>
      <c r="C44" s="24"/>
      <c r="D44" s="24"/>
      <c r="E44" s="22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46" t="str">
        <f t="shared" si="0"/>
        <v/>
      </c>
      <c r="S44" s="120"/>
      <c r="T44" s="120"/>
      <c r="U44" s="120"/>
      <c r="V44" s="120"/>
      <c r="W44" s="120"/>
      <c r="X44" s="120"/>
      <c r="Y44" s="120"/>
      <c r="Z44" s="120"/>
      <c r="AA44" s="120"/>
      <c r="AB44" s="120"/>
    </row>
    <row r="45" spans="1:28" ht="18.600000000000001" customHeight="1" x14ac:dyDescent="0.2">
      <c r="A45" s="45"/>
      <c r="B45" s="34"/>
      <c r="C45" s="24"/>
      <c r="D45" s="24"/>
      <c r="E45" s="22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46" t="str">
        <f t="shared" si="0"/>
        <v/>
      </c>
      <c r="S45" s="120"/>
      <c r="T45" s="120"/>
      <c r="U45" s="120"/>
      <c r="V45" s="120"/>
      <c r="W45" s="120"/>
      <c r="X45" s="120"/>
      <c r="Y45" s="120"/>
      <c r="Z45" s="120"/>
      <c r="AA45" s="120"/>
      <c r="AB45" s="120"/>
    </row>
    <row r="46" spans="1:28" ht="18.600000000000001" customHeight="1" x14ac:dyDescent="0.2">
      <c r="A46" s="45"/>
      <c r="B46" s="34"/>
      <c r="C46" s="24"/>
      <c r="D46" s="24"/>
      <c r="E46" s="22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46" t="str">
        <f t="shared" si="0"/>
        <v/>
      </c>
      <c r="S46" s="120"/>
      <c r="T46" s="120"/>
      <c r="U46" s="120"/>
      <c r="V46" s="120"/>
      <c r="W46" s="120"/>
      <c r="X46" s="120"/>
      <c r="Y46" s="120"/>
      <c r="Z46" s="120"/>
      <c r="AA46" s="120"/>
      <c r="AB46" s="120"/>
    </row>
    <row r="47" spans="1:28" ht="18.600000000000001" customHeight="1" x14ac:dyDescent="0.2">
      <c r="A47" s="45"/>
      <c r="B47" s="34"/>
      <c r="C47" s="24"/>
      <c r="D47" s="24"/>
      <c r="E47" s="22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46" t="str">
        <f t="shared" si="0"/>
        <v/>
      </c>
      <c r="S47" s="120"/>
      <c r="T47" s="120"/>
      <c r="U47" s="120"/>
      <c r="V47" s="120"/>
      <c r="W47" s="120"/>
      <c r="X47" s="120"/>
      <c r="Y47" s="120"/>
      <c r="Z47" s="120"/>
      <c r="AA47" s="120"/>
      <c r="AB47" s="120"/>
    </row>
    <row r="48" spans="1:28" ht="18.600000000000001" customHeight="1" x14ac:dyDescent="0.2">
      <c r="A48" s="45"/>
      <c r="B48" s="34"/>
      <c r="C48" s="24"/>
      <c r="D48" s="24"/>
      <c r="E48" s="22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46" t="str">
        <f t="shared" si="0"/>
        <v/>
      </c>
      <c r="S48" s="120"/>
      <c r="T48" s="120"/>
      <c r="U48" s="120"/>
      <c r="V48" s="120"/>
      <c r="W48" s="120"/>
      <c r="X48" s="120"/>
      <c r="Y48" s="120"/>
      <c r="Z48" s="120"/>
      <c r="AA48" s="120"/>
      <c r="AB48" s="120"/>
    </row>
    <row r="49" spans="1:28" ht="18.600000000000001" customHeight="1" x14ac:dyDescent="0.2">
      <c r="A49" s="45"/>
      <c r="B49" s="34"/>
      <c r="C49" s="24"/>
      <c r="D49" s="24"/>
      <c r="E49" s="22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46" t="str">
        <f t="shared" si="0"/>
        <v/>
      </c>
      <c r="S49" s="120"/>
      <c r="T49" s="120"/>
      <c r="U49" s="120"/>
      <c r="V49" s="120"/>
      <c r="W49" s="120"/>
      <c r="X49" s="120"/>
      <c r="Y49" s="120"/>
      <c r="Z49" s="120"/>
      <c r="AA49" s="120"/>
      <c r="AB49" s="120"/>
    </row>
    <row r="50" spans="1:28" ht="18.600000000000001" customHeight="1" x14ac:dyDescent="0.2">
      <c r="A50" s="45"/>
      <c r="B50" s="34"/>
      <c r="C50" s="24"/>
      <c r="D50" s="24"/>
      <c r="E50" s="22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46" t="str">
        <f t="shared" si="0"/>
        <v/>
      </c>
      <c r="S50" s="120"/>
      <c r="T50" s="120"/>
      <c r="U50" s="120"/>
      <c r="V50" s="120"/>
      <c r="W50" s="120"/>
      <c r="X50" s="120"/>
      <c r="Y50" s="120"/>
      <c r="Z50" s="120"/>
      <c r="AA50" s="120"/>
      <c r="AB50" s="120"/>
    </row>
    <row r="51" spans="1:28" ht="18.600000000000001" customHeight="1" x14ac:dyDescent="0.2">
      <c r="A51" s="45"/>
      <c r="B51" s="24"/>
      <c r="C51" s="24"/>
      <c r="D51" s="24"/>
      <c r="E51" s="22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46" t="str">
        <f t="shared" si="0"/>
        <v/>
      </c>
      <c r="S51" s="120"/>
      <c r="T51" s="120"/>
      <c r="U51" s="120"/>
      <c r="V51" s="120"/>
      <c r="W51" s="120"/>
      <c r="X51" s="120"/>
      <c r="Y51" s="120"/>
      <c r="Z51" s="120"/>
      <c r="AA51" s="120"/>
      <c r="AB51" s="120"/>
    </row>
    <row r="52" spans="1:28" ht="18.600000000000001" customHeight="1" x14ac:dyDescent="0.2">
      <c r="A52" s="45"/>
      <c r="B52" s="24"/>
      <c r="C52" s="24"/>
      <c r="D52" s="24"/>
      <c r="E52" s="22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46" t="str">
        <f t="shared" si="0"/>
        <v/>
      </c>
      <c r="S52" s="120"/>
      <c r="T52" s="120"/>
      <c r="U52" s="120"/>
      <c r="V52" s="120"/>
      <c r="W52" s="120"/>
      <c r="X52" s="120"/>
      <c r="Y52" s="120"/>
      <c r="Z52" s="120"/>
      <c r="AA52" s="120"/>
      <c r="AB52" s="120"/>
    </row>
    <row r="53" spans="1:28" ht="18.600000000000001" customHeight="1" x14ac:dyDescent="0.2">
      <c r="A53" s="45"/>
      <c r="B53" s="24"/>
      <c r="C53" s="24"/>
      <c r="D53" s="24"/>
      <c r="E53" s="22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46" t="str">
        <f t="shared" si="0"/>
        <v/>
      </c>
      <c r="S53" s="120"/>
      <c r="T53" s="120"/>
      <c r="U53" s="120"/>
      <c r="V53" s="120"/>
      <c r="W53" s="120"/>
      <c r="X53" s="120"/>
      <c r="Y53" s="120"/>
      <c r="Z53" s="120"/>
      <c r="AA53" s="120"/>
      <c r="AB53" s="120"/>
    </row>
    <row r="54" spans="1:28" ht="18.600000000000001" customHeight="1" x14ac:dyDescent="0.2">
      <c r="A54" s="45"/>
      <c r="B54" s="24"/>
      <c r="C54" s="24"/>
      <c r="D54" s="24"/>
      <c r="E54" s="22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46" t="str">
        <f t="shared" si="0"/>
        <v/>
      </c>
      <c r="S54" s="120"/>
      <c r="T54" s="120"/>
      <c r="U54" s="120"/>
      <c r="V54" s="120"/>
      <c r="W54" s="120"/>
      <c r="X54" s="120"/>
      <c r="Y54" s="120"/>
      <c r="Z54" s="120"/>
      <c r="AA54" s="120"/>
      <c r="AB54" s="120"/>
    </row>
    <row r="55" spans="1:28" ht="18.600000000000001" customHeight="1" x14ac:dyDescent="0.2">
      <c r="A55" s="45"/>
      <c r="B55" s="24"/>
      <c r="C55" s="24"/>
      <c r="D55" s="24"/>
      <c r="E55" s="22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46" t="str">
        <f t="shared" si="0"/>
        <v/>
      </c>
      <c r="S55" s="120"/>
      <c r="T55" s="120"/>
      <c r="U55" s="120"/>
      <c r="V55" s="120"/>
      <c r="W55" s="120"/>
      <c r="X55" s="120"/>
      <c r="Y55" s="120"/>
      <c r="Z55" s="120"/>
      <c r="AA55" s="120"/>
      <c r="AB55" s="120"/>
    </row>
    <row r="56" spans="1:28" ht="18.600000000000001" customHeight="1" x14ac:dyDescent="0.2">
      <c r="A56" s="45"/>
      <c r="B56" s="24"/>
      <c r="C56" s="24"/>
      <c r="D56" s="24"/>
      <c r="E56" s="22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46" t="str">
        <f t="shared" si="0"/>
        <v/>
      </c>
      <c r="S56" s="120"/>
      <c r="T56" s="120"/>
      <c r="U56" s="120"/>
      <c r="V56" s="120"/>
      <c r="W56" s="120"/>
      <c r="X56" s="120"/>
      <c r="Y56" s="120"/>
      <c r="Z56" s="120"/>
      <c r="AA56" s="120"/>
      <c r="AB56" s="120"/>
    </row>
    <row r="57" spans="1:28" ht="18.600000000000001" customHeight="1" x14ac:dyDescent="0.2">
      <c r="A57" s="45"/>
      <c r="B57" s="24"/>
      <c r="C57" s="24"/>
      <c r="D57" s="24"/>
      <c r="E57" s="22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46" t="str">
        <f t="shared" si="0"/>
        <v/>
      </c>
      <c r="S57" s="120"/>
      <c r="T57" s="120"/>
      <c r="U57" s="120"/>
      <c r="V57" s="120"/>
      <c r="W57" s="120"/>
      <c r="X57" s="120"/>
      <c r="Y57" s="120"/>
      <c r="Z57" s="120"/>
      <c r="AA57" s="120"/>
      <c r="AB57" s="120"/>
    </row>
    <row r="58" spans="1:28" ht="18.600000000000001" customHeight="1" x14ac:dyDescent="0.2">
      <c r="A58" s="45"/>
      <c r="B58" s="24"/>
      <c r="C58" s="24"/>
      <c r="D58" s="24"/>
      <c r="E58" s="22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46" t="str">
        <f t="shared" si="0"/>
        <v/>
      </c>
      <c r="S58" s="120"/>
      <c r="T58" s="120"/>
      <c r="U58" s="120"/>
      <c r="V58" s="120"/>
      <c r="W58" s="120"/>
      <c r="X58" s="120"/>
      <c r="Y58" s="120"/>
      <c r="Z58" s="120"/>
      <c r="AA58" s="120"/>
      <c r="AB58" s="120"/>
    </row>
    <row r="59" spans="1:28" ht="27.6" customHeight="1" x14ac:dyDescent="0.2">
      <c r="A59" s="47" t="s">
        <v>33</v>
      </c>
      <c r="B59" s="32"/>
      <c r="C59" s="23"/>
      <c r="D59" s="23"/>
      <c r="E59" s="2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46"/>
      <c r="S59" s="120"/>
      <c r="T59" s="120"/>
      <c r="U59" s="120"/>
      <c r="V59" s="120"/>
      <c r="W59" s="120"/>
      <c r="X59" s="120"/>
      <c r="Y59" s="120"/>
      <c r="Z59" s="120"/>
      <c r="AA59" s="120"/>
      <c r="AB59" s="120"/>
    </row>
    <row r="60" spans="1:28" ht="18.600000000000001" customHeight="1" x14ac:dyDescent="0.2">
      <c r="A60" s="82" t="s">
        <v>34</v>
      </c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4"/>
      <c r="S60" s="120"/>
      <c r="T60" s="120"/>
      <c r="U60" s="120"/>
      <c r="V60" s="120"/>
      <c r="W60" s="120"/>
      <c r="X60" s="120"/>
      <c r="Y60" s="120"/>
      <c r="Z60" s="120"/>
      <c r="AA60" s="120"/>
      <c r="AB60" s="120"/>
    </row>
    <row r="61" spans="1:28" x14ac:dyDescent="0.2">
      <c r="A61" s="59" t="s">
        <v>35</v>
      </c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25"/>
      <c r="O61" s="25"/>
      <c r="P61" s="48"/>
    </row>
    <row r="62" spans="1:28" x14ac:dyDescent="0.2">
      <c r="A62" s="59" t="s">
        <v>36</v>
      </c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25"/>
      <c r="O62" s="25"/>
      <c r="P62" s="48"/>
    </row>
    <row r="63" spans="1:28" ht="48.4" customHeight="1" thickBot="1" x14ac:dyDescent="0.25">
      <c r="A63" s="61" t="s">
        <v>37</v>
      </c>
      <c r="B63" s="119" t="s">
        <v>40</v>
      </c>
      <c r="C63" s="119"/>
      <c r="D63" s="31"/>
      <c r="E63" s="26"/>
      <c r="F63" s="91" t="s">
        <v>38</v>
      </c>
      <c r="G63" s="91"/>
      <c r="H63" s="28"/>
      <c r="I63" s="28"/>
      <c r="J63" s="29"/>
      <c r="K63" s="30"/>
      <c r="L63" s="91" t="s">
        <v>39</v>
      </c>
      <c r="M63" s="91"/>
      <c r="N63" s="28"/>
      <c r="O63" s="28"/>
      <c r="P63" s="49"/>
    </row>
    <row r="64" spans="1:28" ht="15" thickBot="1" x14ac:dyDescent="0.25">
      <c r="A64" s="50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2"/>
    </row>
  </sheetData>
  <mergeCells count="34">
    <mergeCell ref="B5:C5"/>
    <mergeCell ref="P5:P8"/>
    <mergeCell ref="B6:C6"/>
    <mergeCell ref="F63:G63"/>
    <mergeCell ref="L63:M63"/>
    <mergeCell ref="F17:O17"/>
    <mergeCell ref="B8:C8"/>
    <mergeCell ref="A1:P2"/>
    <mergeCell ref="B63:C63"/>
    <mergeCell ref="B9:C9"/>
    <mergeCell ref="D3:K4"/>
    <mergeCell ref="D5:K5"/>
    <mergeCell ref="D6:K6"/>
    <mergeCell ref="L3:M4"/>
    <mergeCell ref="N3:O4"/>
    <mergeCell ref="L5:M8"/>
    <mergeCell ref="N5:O8"/>
    <mergeCell ref="L9:M9"/>
    <mergeCell ref="N9:O9"/>
    <mergeCell ref="P3:P4"/>
    <mergeCell ref="A3:A4"/>
    <mergeCell ref="B3:C4"/>
    <mergeCell ref="B7:C7"/>
    <mergeCell ref="A11:B11"/>
    <mergeCell ref="D11:F11"/>
    <mergeCell ref="A12:B12"/>
    <mergeCell ref="A17:E17"/>
    <mergeCell ref="P14:P15"/>
    <mergeCell ref="E18:E19"/>
    <mergeCell ref="A18:A19"/>
    <mergeCell ref="B18:B19"/>
    <mergeCell ref="C18:D18"/>
    <mergeCell ref="F19:O19"/>
    <mergeCell ref="A60:P60"/>
  </mergeCells>
  <conditionalFormatting sqref="P14:P15">
    <cfRule type="containsText" dxfId="2" priority="1" operator="containsText" text="PASSED">
      <formula>NOT(ISERROR(SEARCH("PASSED",P14)))</formula>
    </cfRule>
    <cfRule type="containsText" dxfId="1" priority="2" operator="containsText" text="REJECTED">
      <formula>NOT(ISERROR(SEARCH("REJECTED",P14)))</formula>
    </cfRule>
  </conditionalFormatting>
  <conditionalFormatting sqref="P20:P58">
    <cfRule type="containsText" dxfId="0" priority="3" operator="containsText" text="NG">
      <formula>NOT(ISERROR(SEARCH("NG",P20)))</formula>
    </cfRule>
  </conditionalFormatting>
  <printOptions horizontalCentered="1" verticalCentered="1"/>
  <pageMargins left="0" right="0" top="0" bottom="0" header="0" footer="0"/>
  <pageSetup paperSize="9" scale="6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Inspection 1-40 (2)</vt:lpstr>
      <vt:lpstr>'Inspection 1-40 (2)'!Print_Area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Microsoft365_vn12</cp:lastModifiedBy>
  <cp:revision/>
  <dcterms:created xsi:type="dcterms:W3CDTF">2006-09-16T00:00:00Z</dcterms:created>
  <dcterms:modified xsi:type="dcterms:W3CDTF">2026-10-20T06:30:28Z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68E2FBC31B1C4AAF914044F4742EA898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